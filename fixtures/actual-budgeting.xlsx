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ual Budgeting" sheetId="1" r:id="rId1"/>
    <sheet name="Ju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Data>
    <row r="1">
      <c r="A1" t="str">
        <v xml:space="preserve">Total Nett Salary: </v>
      </c>
      <c r="B1">
        <v>4000</v>
      </c>
      <c r="D1" t="str">
        <v>Remaining:</v>
      </c>
      <c r="E1">
        <f>B1-D3</f>
        <v>769.16</v>
      </c>
    </row>
    <row r="5">
      <c r="A5" t="str">
        <v>Pocket</v>
      </c>
      <c r="B5" t="str">
        <v>Amount (RM)</v>
      </c>
      <c r="C5" t="str">
        <v>Yearly (RM)</v>
      </c>
      <c r="F5" t="str">
        <v>Item</v>
      </c>
      <c r="G5" t="str">
        <v>Amount (RM)</v>
      </c>
      <c r="H5" t="str">
        <v>Yearly (RM)</v>
      </c>
      <c r="M5" t="str">
        <v>Category</v>
      </c>
      <c r="N5" t="str">
        <v>Amount</v>
      </c>
      <c r="O5" t="str">
        <v>% Of Salary</v>
      </c>
      <c r="S5" t="str">
        <v>Item</v>
      </c>
      <c r="T5" t="str">
        <v>Amount</v>
      </c>
      <c r="U5" t="str">
        <v>Yearly</v>
      </c>
      <c r="X5" t="str">
        <v>Item</v>
      </c>
      <c r="Y5" t="str">
        <v>Amount</v>
      </c>
      <c r="Z5" t="str">
        <v>Total</v>
      </c>
    </row>
    <row r="6">
      <c r="A6" t="str">
        <v>Therapy</v>
      </c>
      <c r="B6">
        <v>300</v>
      </c>
      <c r="C6">
        <f>B6*12</f>
        <v>3600</v>
      </c>
      <c r="F6" t="str">
        <v>Haircut</v>
      </c>
      <c r="G6">
        <v>20</v>
      </c>
      <c r="M6" t="str">
        <v>Food (Office)</v>
      </c>
      <c r="N6">
        <f>B9</f>
        <v>180</v>
      </c>
      <c r="S6" t="str">
        <v>PTPTN</v>
      </c>
      <c r="T6">
        <f>G9-Y7</f>
        <v>120</v>
      </c>
      <c r="X6" t="str">
        <v>PTPTN</v>
      </c>
      <c r="Y6">
        <v>120</v>
      </c>
      <c r="Z6">
        <f>Y6+Y7</f>
        <v>200</v>
      </c>
    </row>
    <row r="7">
      <c r="A7" t="str">
        <v>Co-Sharing Space</v>
      </c>
      <c r="B7">
        <v>200</v>
      </c>
      <c r="F7" t="str">
        <v>Car Insurance</v>
      </c>
      <c r="G7">
        <f>H7/12</f>
        <v>150</v>
      </c>
      <c r="H7">
        <v>1800</v>
      </c>
      <c r="M7" t="str">
        <v>Car Loan Payment</v>
      </c>
      <c r="N7">
        <f>B10</f>
        <v>400</v>
      </c>
      <c r="S7" t="str">
        <v>MARA</v>
      </c>
      <c r="T7">
        <f>G9-Y6</f>
        <v>80</v>
      </c>
      <c r="X7" t="str">
        <v>MARA</v>
      </c>
      <c r="Y7">
        <v>80</v>
      </c>
    </row>
    <row r="8">
      <c r="A8" t="str">
        <v>Recreation</v>
      </c>
      <c r="B8">
        <v>250</v>
      </c>
      <c r="F8" t="str">
        <v>Road Tax</v>
      </c>
      <c r="G8">
        <v>7.5</v>
      </c>
      <c r="M8" t="str">
        <v>Haircut</v>
      </c>
      <c r="N8">
        <f>G6</f>
        <v>20</v>
      </c>
      <c r="S8" t="str">
        <v>(AI) Claude</v>
      </c>
      <c r="T8">
        <f>G10</f>
        <v>100</v>
      </c>
      <c r="X8" t="str">
        <v>Claude</v>
      </c>
      <c r="Y8">
        <v>100</v>
      </c>
    </row>
    <row r="9">
      <c r="A9" t="str">
        <v>Food (Office)</v>
      </c>
      <c r="B9">
        <v>180</v>
      </c>
      <c r="F9" t="str">
        <v>PTPTN &amp; MARA</v>
      </c>
      <c r="G9">
        <v>200</v>
      </c>
      <c r="M9" t="str">
        <v>Youtube &amp; Business</v>
      </c>
      <c r="N9">
        <v>300</v>
      </c>
      <c r="S9" t="str">
        <v>Total</v>
      </c>
      <c r="T9">
        <v>300</v>
      </c>
    </row>
    <row r="10">
      <c r="A10" t="str">
        <v>Car Loan Payment</v>
      </c>
      <c r="B10">
        <v>400</v>
      </c>
      <c r="F10" t="str">
        <v>AI</v>
      </c>
      <c r="G10">
        <v>100</v>
      </c>
      <c r="M10" t="str">
        <v>Total</v>
      </c>
      <c r="N10">
        <v>900</v>
      </c>
    </row>
    <row r="11">
      <c r="A11" t="str">
        <v>Total</v>
      </c>
      <c r="B11">
        <v>1330</v>
      </c>
      <c r="F11" t="str">
        <v>Electric and Donate</v>
      </c>
      <c r="G11">
        <v>90</v>
      </c>
    </row>
    <row r="12">
      <c r="F12" t="str">
        <v>Total</v>
      </c>
      <c r="G12">
        <v>567.5</v>
      </c>
    </row>
    <row r="13">
      <c r="A13" t="str">
        <v>Pocket</v>
      </c>
      <c r="B13" t="str">
        <v>Amount (RM)</v>
      </c>
    </row>
    <row r="14">
      <c r="A14" t="str">
        <v>ASNB Savings</v>
      </c>
      <c r="B14">
        <v>1000</v>
      </c>
    </row>
    <row r="15">
      <c r="A15" t="str">
        <v>Youtube &amp; Business</v>
      </c>
      <c r="B15">
        <v>300</v>
      </c>
      <c r="F15" t="str">
        <v>Item</v>
      </c>
      <c r="G15" t="str">
        <v>Amount (RM)</v>
      </c>
      <c r="H15" t="str">
        <v>Yearly (RM)</v>
      </c>
      <c r="J15" t="str">
        <v>Full Payment (RM)</v>
      </c>
      <c r="K15" t="str">
        <v>Recurrence (in Years)</v>
      </c>
    </row>
    <row r="16">
      <c r="A16" t="str">
        <v>Total</v>
      </c>
      <c r="B16">
        <v>1300</v>
      </c>
      <c r="F16" t="str">
        <v>Absorber</v>
      </c>
      <c r="G16">
        <f>H16/12</f>
        <v>16.67</v>
      </c>
      <c r="H16">
        <f>J16/K16</f>
        <v>200</v>
      </c>
      <c r="J16">
        <v>1000</v>
      </c>
      <c r="K16">
        <v>5</v>
      </c>
    </row>
    <row r="17">
      <c r="F17" t="str">
        <v>Brake Pad</v>
      </c>
      <c r="G17">
        <f>H17/12</f>
        <v>16.67</v>
      </c>
      <c r="H17">
        <f>J17/K17</f>
        <v>200</v>
      </c>
      <c r="J17">
        <v>1000</v>
      </c>
      <c r="K17">
        <v>5</v>
      </c>
    </row>
    <row r="18">
      <c r="F18" t="str">
        <v>Tires</v>
      </c>
    </row>
    <row r="19">
      <c r="F19" t="str">
        <v>Total</v>
      </c>
      <c r="G19">
        <v>33.34</v>
      </c>
    </row>
  </sheetData>
  <ignoredErrors>
    <ignoredError numberStoredAsText="1" sqref="A1:Z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 xml:space="preserve">Total Nett Salary: </v>
      </c>
      <c r="B1">
        <v>3900</v>
      </c>
    </row>
    <row r="4">
      <c r="A4" t="str">
        <v>Pocket</v>
      </c>
      <c r="B4" t="str">
        <v>Amount (RM)</v>
      </c>
    </row>
    <row r="5">
      <c r="A5" t="str">
        <v>Therapy</v>
      </c>
      <c r="B5">
        <v>200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 Budgeting</vt:lpstr>
      <vt:lpstr>July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