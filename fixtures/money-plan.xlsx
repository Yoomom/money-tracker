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ey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Money Plan</v>
      </c>
    </row>
    <row r="3">
      <c r="A3" t="str">
        <v>Take-home salary (RM)</v>
      </c>
      <c r="B3">
        <v>4000</v>
      </c>
    </row>
    <row r="4">
      <c r="A4" t="str">
        <v>Giving % of income</v>
      </c>
      <c r="B4">
        <v>0.025</v>
      </c>
    </row>
    <row r="5">
      <c r="A5" t="str">
        <v>Emergency fund target (months of fixed costs)</v>
      </c>
      <c r="B5">
        <v>6</v>
      </c>
    </row>
    <row r="6">
      <c r="A6" t="str">
        <v>Emergency fund balance now (RM)</v>
      </c>
      <c r="B6">
        <v>3000</v>
      </c>
    </row>
    <row r="7">
      <c r="A7" t="str">
        <v>Plan start month</v>
      </c>
      <c r="B7" s="1" t="d">
        <v>2026-09-30T16:00:00.000Z</v>
      </c>
    </row>
    <row r="8">
      <c r="A8" t="str">
        <v>Pocket</v>
      </c>
      <c r="B8" t="str">
        <v>Item</v>
      </c>
      <c r="C8" t="str">
        <v>Planned (RM)</v>
      </c>
    </row>
    <row r="9">
      <c r="A9" t="str">
        <v>1. Give</v>
      </c>
      <c r="B9" t="str">
        <v>Charity</v>
      </c>
      <c r="C9">
        <f>B3*B4</f>
        <v>100</v>
      </c>
    </row>
    <row r="10">
      <c r="A10" t="str">
        <v>2. Fixed needs</v>
      </c>
      <c r="B10" t="str">
        <v>Car loan</v>
      </c>
      <c r="C10">
        <v>400</v>
      </c>
    </row>
    <row r="11">
      <c r="B11" t="str">
        <v>Car insurance</v>
      </c>
      <c r="C11">
        <f>1800/12</f>
        <v>150</v>
      </c>
    </row>
    <row r="12">
      <c r="B12" t="str">
        <v>Petrol</v>
      </c>
      <c r="C12">
        <v>200</v>
      </c>
    </row>
    <row r="13">
      <c r="B13" t="str">
        <v>Road tax</v>
      </c>
      <c r="C13">
        <f>90/12</f>
        <v>7.5</v>
      </c>
    </row>
    <row r="14">
      <c r="B14" t="str">
        <v>Phone bill</v>
      </c>
      <c r="C14">
        <v>70</v>
      </c>
    </row>
    <row r="15">
      <c r="B15" t="str">
        <v>Food</v>
      </c>
      <c r="C15">
        <v>500</v>
      </c>
    </row>
    <row r="16">
      <c r="A16" t="str">
        <v>3. Sinking funds</v>
      </c>
      <c r="B16" t="str">
        <v>Car wear &amp; tear</v>
      </c>
      <c r="C16">
        <f>(1000/5+400/2)/12</f>
        <v>50</v>
      </c>
    </row>
    <row r="17">
      <c r="B17" t="str">
        <v>Gifts &amp; family occasions</v>
      </c>
      <c r="C17">
        <v>100</v>
      </c>
    </row>
    <row r="18">
      <c r="A18" t="str">
        <v>4. Creator business</v>
      </c>
      <c r="B18" t="str">
        <v>Business tools</v>
      </c>
      <c r="C18">
        <v>150</v>
      </c>
    </row>
    <row r="19">
      <c r="A19" t="str">
        <v>5. Safety then wealth</v>
      </c>
      <c r="B19" t="str">
        <v>Emergency fund top-up (ASB)</v>
      </c>
      <c r="C19">
        <v>600</v>
      </c>
    </row>
    <row r="20">
      <c r="B20" t="str">
        <v>Long-term investing</v>
      </c>
      <c r="C20">
        <f>B3-SUM(C9:C20)</f>
        <v>1372.5</v>
      </c>
    </row>
    <row r="21">
      <c r="A21" t="str">
        <v>6. Guilt-free</v>
      </c>
      <c r="B21" t="str">
        <v>Recreation</v>
      </c>
      <c r="C21">
        <v>300</v>
      </c>
    </row>
    <row r="22">
      <c r="B22" t="str">
        <v>Total</v>
      </c>
      <c r="C22">
        <v>4000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